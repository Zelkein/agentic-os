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ASSUMPTIONS" sheetId="2" state="visible" r:id="rId2"/>
    <sheet name="HVAC" sheetId="3" state="visible" r:id="rId3"/>
    <sheet name="PLUMBING" sheetId="4" state="visible" r:id="rId4"/>
    <sheet name="ELECTRICAL" sheetId="5" state="visible" r:id="rId5"/>
    <sheet name="EQUIPMENT" sheetId="6" state="visible" r:id="rId6"/>
    <sheet name="VALIDATION" sheetId="7" state="visible" r:id="rId7"/>
    <sheet name="CAD EX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2F5496"/>
      <sz val="12"/>
    </font>
    <font>
      <name val="Calibri"/>
      <b val="1"/>
      <sz val="11"/>
    </font>
    <font>
      <name val="Calibri"/>
      <sz val="11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b val="1"/>
      <color rgb="00548235"/>
      <sz val="12"/>
    </font>
    <font>
      <name val="Calibri"/>
      <b val="1"/>
      <color rgb="00BF8F00"/>
      <sz val="12"/>
    </font>
    <font>
      <name val="Calibri"/>
      <b val="1"/>
      <color rgb="00ED7D3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5" customWidth="1" min="3" max="3"/>
  </cols>
  <sheetData>
    <row r="1">
      <c r="A1" s="1" t="inlineStr">
        <is>
          <t>MEP CALCULATION WORKBOOK</t>
        </is>
      </c>
    </row>
    <row r="3">
      <c r="A3" s="2" t="inlineStr">
        <is>
          <t>Project Metadata</t>
        </is>
      </c>
    </row>
    <row r="5">
      <c r="A5" s="3" t="inlineStr">
        <is>
          <t>Project Name</t>
        </is>
      </c>
      <c r="B5" s="4" t="inlineStr">
        <is>
          <t>18 Units Saint-Côme</t>
        </is>
      </c>
      <c r="C5" s="5" t="n"/>
    </row>
    <row r="6">
      <c r="A6" s="3" t="inlineStr">
        <is>
          <t>Project Number</t>
        </is>
      </c>
      <c r="B6" s="4" t="inlineStr">
        <is>
          <t>APH-2024-018</t>
        </is>
      </c>
      <c r="C6" s="5" t="n"/>
    </row>
    <row r="7">
      <c r="A7" s="3" t="inlineStr">
        <is>
          <t>Project Type</t>
        </is>
      </c>
      <c r="B7" s="4" t="inlineStr">
        <is>
          <t>APH</t>
        </is>
      </c>
      <c r="C7" s="6" t="inlineStr">
        <is>
          <t>APH, Commercial, Industrial, Renovation, Healthcare</t>
        </is>
      </c>
    </row>
    <row r="8">
      <c r="A8" s="3" t="inlineStr">
        <is>
          <t>Client</t>
        </is>
      </c>
      <c r="B8" s="4" t="inlineStr"/>
      <c r="C8" s="5" t="n"/>
    </row>
    <row r="9">
      <c r="A9" s="3" t="inlineStr">
        <is>
          <t>Architect</t>
        </is>
      </c>
      <c r="B9" s="4" t="inlineStr"/>
      <c r="C9" s="5" t="n"/>
    </row>
    <row r="10">
      <c r="A10" s="3" t="inlineStr">
        <is>
          <t>Address</t>
        </is>
      </c>
      <c r="B10" s="4" t="inlineStr">
        <is>
          <t>Saint-Côme, QC</t>
        </is>
      </c>
      <c r="C10" s="5" t="n"/>
    </row>
    <row r="11">
      <c r="A11" s="3" t="inlineStr">
        <is>
          <t>Phase</t>
        </is>
      </c>
      <c r="B11" s="4" t="inlineStr">
        <is>
          <t>Coordination</t>
        </is>
      </c>
      <c r="C11" s="6" t="inlineStr">
        <is>
          <t>Coordination, Calculation, Drawing, Construction</t>
        </is>
      </c>
    </row>
    <row r="12">
      <c r="A12" s="3" t="inlineStr">
        <is>
          <t>Disciplines</t>
        </is>
      </c>
      <c r="B12" s="4" t="inlineStr">
        <is>
          <t>Mechanical, Electrical, Plumbing</t>
        </is>
      </c>
      <c r="C12" s="5" t="n"/>
    </row>
    <row r="13">
      <c r="A13" s="3" t="inlineStr">
        <is>
          <t>Has Kitchen/Commercial</t>
        </is>
      </c>
      <c r="B13" s="4" t="inlineStr">
        <is>
          <t>No</t>
        </is>
      </c>
      <c r="C13" s="6" t="inlineStr">
        <is>
          <t>Yes, No</t>
        </is>
      </c>
    </row>
    <row r="14">
      <c r="A14" s="3" t="inlineStr">
        <is>
          <t>Has Garage</t>
        </is>
      </c>
      <c r="B14" s="4" t="inlineStr">
        <is>
          <t>No</t>
        </is>
      </c>
      <c r="C14" s="6" t="inlineStr">
        <is>
          <t>Yes, No</t>
        </is>
      </c>
    </row>
    <row r="15">
      <c r="A15" s="3" t="inlineStr">
        <is>
          <t>Energy Compliance</t>
        </is>
      </c>
      <c r="B15" s="4" t="inlineStr">
        <is>
          <t>Yes</t>
        </is>
      </c>
      <c r="C15" s="6" t="inlineStr">
        <is>
          <t>Yes, No</t>
        </is>
      </c>
    </row>
    <row r="16">
      <c r="A16" s="3" t="inlineStr">
        <is>
          <t>Applicable Codes</t>
        </is>
      </c>
      <c r="B16" s="4" t="inlineStr">
        <is>
          <t>Quebec, Canada, CSA</t>
        </is>
      </c>
      <c r="C16" s="6" t="inlineStr">
        <is>
          <t>Quebec, Canada, CSA, ASHRAE</t>
        </is>
      </c>
    </row>
    <row r="17">
      <c r="A17" s="3" t="inlineStr">
        <is>
          <t>Last Modified</t>
        </is>
      </c>
      <c r="B17" s="4" t="inlineStr">
        <is>
          <t>2026-06-04 14:27</t>
        </is>
      </c>
      <c r="C17" s="5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28" customWidth="1" min="4" max="4"/>
    <col width="14" customWidth="1" min="5" max="5"/>
  </cols>
  <sheetData>
    <row r="1">
      <c r="A1" s="7" t="inlineStr">
        <is>
          <t>Parameter</t>
        </is>
      </c>
      <c r="B1" s="7" t="inlineStr">
        <is>
          <t>Value</t>
        </is>
      </c>
      <c r="C1" s="7" t="inlineStr">
        <is>
          <t>Unit</t>
        </is>
      </c>
      <c r="D1" s="7" t="inlineStr">
        <is>
          <t>Notes</t>
        </is>
      </c>
      <c r="E1" s="7" t="inlineStr">
        <is>
          <t>Status</t>
        </is>
      </c>
    </row>
    <row r="2">
      <c r="A2" s="8" t="inlineStr">
        <is>
          <t>Outdoor Design Temp (Summer)</t>
        </is>
      </c>
      <c r="B2" s="8" t="n">
        <v>30</v>
      </c>
      <c r="C2" s="8" t="inlineStr">
        <is>
          <t>°C</t>
        </is>
      </c>
      <c r="D2" s="8" t="inlineStr">
        <is>
          <t>ASHRAE 1%</t>
        </is>
      </c>
      <c r="E2" s="8" t="inlineStr"/>
    </row>
    <row r="3">
      <c r="A3" s="8" t="inlineStr">
        <is>
          <t>Outdoor Design Temp (Winter)</t>
        </is>
      </c>
      <c r="B3" s="8" t="n">
        <v>-25</v>
      </c>
      <c r="C3" s="8" t="inlineStr">
        <is>
          <t>°C</t>
        </is>
      </c>
      <c r="D3" s="8" t="inlineStr">
        <is>
          <t>ASHRAE 99%</t>
        </is>
      </c>
      <c r="E3" s="8" t="inlineStr"/>
    </row>
    <row r="4">
      <c r="A4" s="8" t="inlineStr">
        <is>
          <t>Indoor Design Temp (Conditioned)</t>
        </is>
      </c>
      <c r="B4" s="8" t="n">
        <v>22</v>
      </c>
      <c r="C4" s="8" t="inlineStr">
        <is>
          <t>°C</t>
        </is>
      </c>
      <c r="D4" s="8" t="inlineStr">
        <is>
          <t>±2°C tolerance</t>
        </is>
      </c>
      <c r="E4" s="8" t="inlineStr"/>
    </row>
    <row r="5">
      <c r="A5" s="8" t="inlineStr">
        <is>
          <t>Indoor Design Temp (Unconditioned)</t>
        </is>
      </c>
      <c r="B5" s="8" t="n">
        <v>10</v>
      </c>
      <c r="C5" s="8" t="inlineStr">
        <is>
          <t>°C</t>
        </is>
      </c>
      <c r="D5" s="8" t="inlineStr">
        <is>
          <t>Min</t>
        </is>
      </c>
      <c r="E5" s="8" t="inlineStr"/>
    </row>
    <row r="6">
      <c r="A6" s="8" t="inlineStr">
        <is>
          <t>Occupancy Type</t>
        </is>
      </c>
      <c r="B6" s="8" t="inlineStr">
        <is>
          <t>Residential</t>
        </is>
      </c>
      <c r="C6" s="8" t="inlineStr"/>
      <c r="D6" s="8" t="inlineStr">
        <is>
          <t>Multi-unit</t>
        </is>
      </c>
      <c r="E6" s="8" t="inlineStr"/>
    </row>
    <row r="7">
      <c r="A7" s="8" t="inlineStr">
        <is>
          <t>Occupant Density</t>
        </is>
      </c>
      <c r="B7" s="8" t="n">
        <v>25</v>
      </c>
      <c r="C7" s="8" t="inlineStr">
        <is>
          <t>m²/person</t>
        </is>
      </c>
      <c r="D7" s="8" t="inlineStr">
        <is>
          <t>Per unit</t>
        </is>
      </c>
      <c r="E7" s="8" t="inlineStr"/>
    </row>
    <row r="8">
      <c r="A8" s="8" t="inlineStr">
        <is>
          <t>Ventilation Rate</t>
        </is>
      </c>
      <c r="B8" s="8" t="n">
        <v>7.5</v>
      </c>
      <c r="C8" s="8" t="inlineStr">
        <is>
          <t>L/s/person</t>
        </is>
      </c>
      <c r="D8" s="8" t="inlineStr">
        <is>
          <t>ASHRAE 62.1</t>
        </is>
      </c>
      <c r="E8" s="8" t="inlineStr"/>
    </row>
    <row r="9">
      <c r="A9" s="8" t="inlineStr">
        <is>
          <t>Lighting Power Density</t>
        </is>
      </c>
      <c r="B9" s="8" t="n">
        <v>5</v>
      </c>
      <c r="C9" s="8" t="inlineStr">
        <is>
          <t>W/m²</t>
        </is>
      </c>
      <c r="D9" s="8" t="inlineStr">
        <is>
          <t>Residential</t>
        </is>
      </c>
      <c r="E9" s="8" t="inlineStr"/>
    </row>
    <row r="10">
      <c r="A10" s="8" t="inlineStr">
        <is>
          <t>Equipment Power Density</t>
        </is>
      </c>
      <c r="B10" s="8" t="n">
        <v>5</v>
      </c>
      <c r="C10" s="8" t="inlineStr">
        <is>
          <t>W/m²</t>
        </is>
      </c>
      <c r="D10" s="8" t="inlineStr">
        <is>
          <t>Residential</t>
        </is>
      </c>
      <c r="E10" s="8" t="inlineStr"/>
    </row>
    <row r="11">
      <c r="A11" s="8" t="inlineStr">
        <is>
          <t>Infiltration Rate</t>
        </is>
      </c>
      <c r="B11" s="8" t="n">
        <v>0.25</v>
      </c>
      <c r="C11" s="8" t="inlineStr">
        <is>
          <t>ACH</t>
        </is>
      </c>
      <c r="D11" s="8" t="inlineStr">
        <is>
          <t>Typical</t>
        </is>
      </c>
      <c r="E11" s="8" t="inlineStr"/>
    </row>
    <row r="12">
      <c r="A12" s="8" t="inlineStr">
        <is>
          <t>Ceiling Height</t>
        </is>
      </c>
      <c r="B12" s="8" t="n">
        <v>2.44</v>
      </c>
      <c r="C12" s="8" t="inlineStr">
        <is>
          <t>m</t>
        </is>
      </c>
      <c r="D12" s="8" t="inlineStr">
        <is>
          <t>Floor to floor</t>
        </is>
      </c>
      <c r="E12" s="8" t="inlineStr"/>
    </row>
    <row r="13">
      <c r="A13" s="8" t="inlineStr">
        <is>
          <t>Window-to-Wall Ratio</t>
        </is>
      </c>
      <c r="B13" s="8" t="n">
        <v>0.25</v>
      </c>
      <c r="C13" s="8" t="inlineStr"/>
      <c r="D13" s="8" t="inlineStr">
        <is>
          <t>Estimated</t>
        </is>
      </c>
      <c r="E13" s="8" t="inlineStr"/>
    </row>
    <row r="14">
      <c r="A14" s="8" t="inlineStr">
        <is>
          <t>Glazing U-Value</t>
        </is>
      </c>
      <c r="B14" s="8" t="n">
        <v>1.8</v>
      </c>
      <c r="C14" s="8" t="inlineStr">
        <is>
          <t>W/m²·K</t>
        </is>
      </c>
      <c r="D14" s="8" t="inlineStr">
        <is>
          <t>Typical</t>
        </is>
      </c>
      <c r="E14" s="8" t="inlineStr"/>
    </row>
    <row r="15">
      <c r="A15" s="8" t="inlineStr">
        <is>
          <t>Wall R-Value</t>
        </is>
      </c>
      <c r="B15" s="8" t="n">
        <v>4.2</v>
      </c>
      <c r="C15" s="8" t="inlineStr">
        <is>
          <t>RSI</t>
        </is>
      </c>
      <c r="D15" s="8" t="inlineStr"/>
      <c r="E15" s="8" t="inlineStr"/>
    </row>
    <row r="16">
      <c r="A16" s="8" t="inlineStr">
        <is>
          <t>Roof R-Value</t>
        </is>
      </c>
      <c r="B16" s="8" t="n">
        <v>5.6</v>
      </c>
      <c r="C16" s="8" t="inlineStr">
        <is>
          <t>RSI</t>
        </is>
      </c>
      <c r="D16" s="8" t="inlineStr"/>
      <c r="E1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24" customWidth="1" min="4" max="4"/>
    <col width="18" customWidth="1" min="5" max="5"/>
    <col width="18" customWidth="1" min="6" max="6"/>
    <col width="18" customWidth="1" min="7" max="7"/>
    <col width="16" customWidth="1" min="8" max="8"/>
    <col width="14" customWidth="1" min="9" max="9"/>
  </cols>
  <sheetData>
    <row r="1">
      <c r="A1" s="9" t="inlineStr">
        <is>
          <t>ZONE LOAD SUMMARY</t>
        </is>
      </c>
    </row>
    <row r="3">
      <c r="A3" s="7" t="inlineStr">
        <is>
          <t>Zone ID</t>
        </is>
      </c>
      <c r="B3" s="7" t="inlineStr">
        <is>
          <t>Area (m²)</t>
        </is>
      </c>
      <c r="C3" s="7" t="inlineStr">
        <is>
          <t>Cooling (kW)</t>
        </is>
      </c>
      <c r="D3" s="7" t="inlineStr">
        <is>
          <t>Heating (kW)</t>
        </is>
      </c>
      <c r="E3" s="7" t="inlineStr">
        <is>
          <t>Ventilation (L/s)</t>
        </is>
      </c>
      <c r="F3" s="7" t="inlineStr">
        <is>
          <t>Supply CFM</t>
        </is>
      </c>
      <c r="G3" s="7" t="inlineStr">
        <is>
          <t>Return CFM</t>
        </is>
      </c>
      <c r="H3" s="7" t="inlineStr">
        <is>
          <t>Exhaust CFM</t>
        </is>
      </c>
      <c r="I3" s="7" t="inlineStr">
        <is>
          <t>Status</t>
        </is>
      </c>
    </row>
    <row r="4">
      <c r="A4" s="8" t="inlineStr">
        <is>
          <t>Unit-101</t>
        </is>
      </c>
      <c r="B4" s="8" t="n">
        <v>85</v>
      </c>
      <c r="C4" s="8" t="n">
        <v>4.2</v>
      </c>
      <c r="D4" s="8" t="n">
        <v>3.8</v>
      </c>
      <c r="E4" s="8" t="n">
        <v>25</v>
      </c>
      <c r="F4" s="8" t="n">
        <v>210</v>
      </c>
      <c r="G4" s="8" t="n">
        <v>190</v>
      </c>
      <c r="H4" s="8" t="n">
        <v>50</v>
      </c>
      <c r="I4" s="8" t="inlineStr"/>
    </row>
    <row r="5">
      <c r="A5" s="8" t="inlineStr">
        <is>
          <t>Unit-102</t>
        </is>
      </c>
      <c r="B5" s="8" t="n">
        <v>85</v>
      </c>
      <c r="C5" s="8" t="n">
        <v>4.2</v>
      </c>
      <c r="D5" s="8" t="n">
        <v>3.8</v>
      </c>
      <c r="E5" s="8" t="n">
        <v>25</v>
      </c>
      <c r="F5" s="8" t="n">
        <v>210</v>
      </c>
      <c r="G5" s="8" t="n">
        <v>190</v>
      </c>
      <c r="H5" s="8" t="n">
        <v>50</v>
      </c>
      <c r="I5" s="8" t="inlineStr"/>
    </row>
    <row r="6">
      <c r="A6" s="8" t="inlineStr">
        <is>
          <t>Unit-103</t>
        </is>
      </c>
      <c r="B6" s="8" t="n">
        <v>85</v>
      </c>
      <c r="C6" s="8" t="n">
        <v>4.2</v>
      </c>
      <c r="D6" s="8" t="n">
        <v>3.8</v>
      </c>
      <c r="E6" s="8" t="n">
        <v>25</v>
      </c>
      <c r="F6" s="8" t="n">
        <v>210</v>
      </c>
      <c r="G6" s="8" t="n">
        <v>190</v>
      </c>
      <c r="H6" s="8" t="n">
        <v>50</v>
      </c>
      <c r="I6" s="8" t="inlineStr"/>
    </row>
    <row r="7">
      <c r="A7" s="8" t="inlineStr">
        <is>
          <t>Unit-201</t>
        </is>
      </c>
      <c r="B7" s="8" t="n">
        <v>85</v>
      </c>
      <c r="C7" s="8" t="n">
        <v>4.2</v>
      </c>
      <c r="D7" s="8" t="n">
        <v>3.8</v>
      </c>
      <c r="E7" s="8" t="n">
        <v>25</v>
      </c>
      <c r="F7" s="8" t="n">
        <v>210</v>
      </c>
      <c r="G7" s="8" t="n">
        <v>190</v>
      </c>
      <c r="H7" s="8" t="n">
        <v>50</v>
      </c>
      <c r="I7" s="8" t="inlineStr"/>
    </row>
    <row r="8">
      <c r="A8" s="8" t="inlineStr">
        <is>
          <t>Unit-202</t>
        </is>
      </c>
      <c r="B8" s="8" t="n">
        <v>85</v>
      </c>
      <c r="C8" s="8" t="n">
        <v>4.2</v>
      </c>
      <c r="D8" s="8" t="n">
        <v>3.8</v>
      </c>
      <c r="E8" s="8" t="n">
        <v>25</v>
      </c>
      <c r="F8" s="8" t="n">
        <v>210</v>
      </c>
      <c r="G8" s="8" t="n">
        <v>190</v>
      </c>
      <c r="H8" s="8" t="n">
        <v>50</v>
      </c>
      <c r="I8" s="8" t="inlineStr"/>
    </row>
    <row r="9">
      <c r="A9" s="8" t="inlineStr">
        <is>
          <t>Unit-203</t>
        </is>
      </c>
      <c r="B9" s="8" t="n">
        <v>85</v>
      </c>
      <c r="C9" s="8" t="n">
        <v>4.2</v>
      </c>
      <c r="D9" s="8" t="n">
        <v>3.8</v>
      </c>
      <c r="E9" s="8" t="n">
        <v>25</v>
      </c>
      <c r="F9" s="8" t="n">
        <v>210</v>
      </c>
      <c r="G9" s="8" t="n">
        <v>190</v>
      </c>
      <c r="H9" s="8" t="n">
        <v>50</v>
      </c>
      <c r="I9" s="8" t="inlineStr"/>
    </row>
    <row r="10">
      <c r="A10" s="8" t="inlineStr">
        <is>
          <t>Corridor-1</t>
        </is>
      </c>
      <c r="B10" s="8" t="n">
        <v>45</v>
      </c>
      <c r="C10" s="8" t="n">
        <v>1.5</v>
      </c>
      <c r="D10" s="8" t="n">
        <v>1.2</v>
      </c>
      <c r="E10" s="8" t="n">
        <v>15</v>
      </c>
      <c r="F10" s="8" t="n">
        <v>75</v>
      </c>
      <c r="G10" s="8" t="n">
        <v>75</v>
      </c>
      <c r="H10" s="8" t="n">
        <v>0</v>
      </c>
      <c r="I10" s="8" t="inlineStr"/>
    </row>
    <row r="11">
      <c r="A11" s="8" t="inlineStr">
        <is>
          <t>Corridor-2</t>
        </is>
      </c>
      <c r="B11" s="8" t="n">
        <v>45</v>
      </c>
      <c r="C11" s="8" t="n">
        <v>1.5</v>
      </c>
      <c r="D11" s="8" t="n">
        <v>1.2</v>
      </c>
      <c r="E11" s="8" t="n">
        <v>15</v>
      </c>
      <c r="F11" s="8" t="n">
        <v>75</v>
      </c>
      <c r="G11" s="8" t="n">
        <v>75</v>
      </c>
      <c r="H11" s="8" t="n">
        <v>0</v>
      </c>
      <c r="I11" s="8" t="inlineStr"/>
    </row>
    <row r="12">
      <c r="A12" s="8" t="inlineStr">
        <is>
          <t>TOTALS</t>
        </is>
      </c>
      <c r="B12" s="8" t="n"/>
      <c r="C12" s="8">
        <f>SUM(C4:C11)</f>
        <v/>
      </c>
      <c r="D12" s="8">
        <f>SUM(D4:D11)</f>
        <v/>
      </c>
      <c r="E12" s="8" t="n"/>
      <c r="F12" s="8">
        <f>SUM(F4:F11)</f>
        <v/>
      </c>
      <c r="G12" s="8">
        <f>SUM(G4:G11)</f>
        <v/>
      </c>
      <c r="H12" s="8" t="n"/>
      <c r="I12" s="8" t="n"/>
    </row>
    <row r="14">
      <c r="A14" s="9" t="inlineStr">
        <is>
          <t>DUCT SIZING</t>
        </is>
      </c>
    </row>
    <row r="15">
      <c r="A15" s="7" t="inlineStr">
        <is>
          <t>Duct ID</t>
        </is>
      </c>
      <c r="B15" s="7" t="inlineStr">
        <is>
          <t>Serves</t>
        </is>
      </c>
      <c r="C15" s="7" t="inlineStr">
        <is>
          <t>CFM</t>
        </is>
      </c>
      <c r="D15" s="7" t="inlineStr">
        <is>
          <t>Velocity (fpm)</t>
        </is>
      </c>
      <c r="E15" s="7" t="inlineStr">
        <is>
          <t>Diam. (in)</t>
        </is>
      </c>
      <c r="F15" s="7" t="inlineStr">
        <is>
          <t>Width (in)</t>
        </is>
      </c>
      <c r="G15" s="7" t="inlineStr">
        <is>
          <t>Height (in)</t>
        </is>
      </c>
      <c r="H15" s="7" t="inlineStr">
        <is>
          <t>ΔP (in.wg/100ft)</t>
        </is>
      </c>
      <c r="I15" s="7" t="inlineStr">
        <is>
          <t>Status</t>
        </is>
      </c>
    </row>
    <row r="16">
      <c r="A16" s="8" t="inlineStr">
        <is>
          <t>M-001</t>
        </is>
      </c>
      <c r="B16" s="8" t="inlineStr">
        <is>
          <t>Units 1xx Supply</t>
        </is>
      </c>
      <c r="C16" s="8" t="n">
        <v>630</v>
      </c>
      <c r="D16" s="8" t="n">
        <v>900</v>
      </c>
      <c r="E16" s="8" t="n">
        <v>14</v>
      </c>
      <c r="F16" s="8" t="inlineStr"/>
      <c r="G16" s="8" t="inlineStr"/>
      <c r="H16" s="8" t="n">
        <v>0.08</v>
      </c>
      <c r="I16" s="8" t="inlineStr"/>
    </row>
    <row r="17">
      <c r="A17" s="8" t="inlineStr">
        <is>
          <t>M-002</t>
        </is>
      </c>
      <c r="B17" s="8" t="inlineStr">
        <is>
          <t>Units 2xx Supply</t>
        </is>
      </c>
      <c r="C17" s="8" t="n">
        <v>630</v>
      </c>
      <c r="D17" s="8" t="n">
        <v>900</v>
      </c>
      <c r="E17" s="8" t="n">
        <v>14</v>
      </c>
      <c r="F17" s="8" t="inlineStr"/>
      <c r="G17" s="8" t="inlineStr"/>
      <c r="H17" s="8" t="n">
        <v>0.08</v>
      </c>
      <c r="I17" s="8" t="inlineStr"/>
    </row>
    <row r="18">
      <c r="A18" s="8" t="inlineStr">
        <is>
          <t>M-003</t>
        </is>
      </c>
      <c r="B18" s="8" t="inlineStr">
        <is>
          <t>Corridors Supply</t>
        </is>
      </c>
      <c r="C18" s="8" t="n">
        <v>150</v>
      </c>
      <c r="D18" s="8" t="n">
        <v>500</v>
      </c>
      <c r="E18" s="8" t="n">
        <v>10</v>
      </c>
      <c r="F18" s="8" t="inlineStr"/>
      <c r="G18" s="8" t="inlineStr"/>
      <c r="H18" s="8" t="n">
        <v>0.04</v>
      </c>
      <c r="I18" s="8" t="inlineStr"/>
    </row>
    <row r="19">
      <c r="A19" s="8" t="inlineStr">
        <is>
          <t>M-R01</t>
        </is>
      </c>
      <c r="B19" s="8" t="inlineStr">
        <is>
          <t>Units 1xx Return</t>
        </is>
      </c>
      <c r="C19" s="8" t="n">
        <v>570</v>
      </c>
      <c r="D19" s="8" t="n">
        <v>800</v>
      </c>
      <c r="E19" s="8" t="n">
        <v>14</v>
      </c>
      <c r="F19" s="8" t="inlineStr"/>
      <c r="G19" s="8" t="inlineStr"/>
      <c r="H19" s="8" t="n">
        <v>0.06</v>
      </c>
      <c r="I19" s="8" t="inlineStr"/>
    </row>
    <row r="20">
      <c r="A20" s="8" t="inlineStr">
        <is>
          <t>M-R02</t>
        </is>
      </c>
      <c r="B20" s="8" t="inlineStr">
        <is>
          <t>Units 2xx Return</t>
        </is>
      </c>
      <c r="C20" s="8" t="n">
        <v>570</v>
      </c>
      <c r="D20" s="8" t="n">
        <v>800</v>
      </c>
      <c r="E20" s="8" t="n">
        <v>14</v>
      </c>
      <c r="F20" s="8" t="inlineStr"/>
      <c r="G20" s="8" t="inlineStr"/>
      <c r="H20" s="8" t="n">
        <v>0.06</v>
      </c>
      <c r="I20" s="8" t="inlineStr"/>
    </row>
    <row r="21">
      <c r="A21" s="8" t="inlineStr">
        <is>
          <t>M-E01</t>
        </is>
      </c>
      <c r="B21" s="8" t="inlineStr">
        <is>
          <t>Bath Exhaust</t>
        </is>
      </c>
      <c r="C21" s="8" t="n">
        <v>100</v>
      </c>
      <c r="D21" s="8" t="n">
        <v>600</v>
      </c>
      <c r="E21" s="8" t="n">
        <v>8</v>
      </c>
      <c r="F21" s="8" t="inlineStr"/>
      <c r="G21" s="8" t="inlineStr"/>
      <c r="H21" s="8" t="n">
        <v>0.05</v>
      </c>
      <c r="I21" s="8" t="inlineStr"/>
    </row>
    <row r="22">
      <c r="A22" s="8" t="inlineStr">
        <is>
          <t>M-E02</t>
        </is>
      </c>
      <c r="B22" s="8" t="inlineStr">
        <is>
          <t>Bath Exhaust</t>
        </is>
      </c>
      <c r="C22" s="8" t="n">
        <v>100</v>
      </c>
      <c r="D22" s="8" t="n">
        <v>600</v>
      </c>
      <c r="E22" s="8" t="n">
        <v>8</v>
      </c>
      <c r="F22" s="8" t="inlineStr"/>
      <c r="G22" s="8" t="inlineStr"/>
      <c r="H22" s="8" t="n">
        <v>0.05</v>
      </c>
      <c r="I22" s="8" t="inlineStr"/>
    </row>
    <row r="24">
      <c r="A24" s="9" t="inlineStr">
        <is>
          <t>EQUIPMENT SELECTION</t>
        </is>
      </c>
    </row>
    <row r="25">
      <c r="A25" s="7" t="inlineStr">
        <is>
          <t>Tag</t>
        </is>
      </c>
      <c r="B25" s="7" t="inlineStr">
        <is>
          <t>Description</t>
        </is>
      </c>
      <c r="C25" s="7" t="inlineStr">
        <is>
          <t>Model</t>
        </is>
      </c>
      <c r="D25" s="7" t="inlineStr">
        <is>
          <t>Capacity</t>
        </is>
      </c>
      <c r="E25" s="7" t="inlineStr">
        <is>
          <t>ESP (in.wg)</t>
        </is>
      </c>
      <c r="F25" s="7" t="inlineStr">
        <is>
          <t>Electrical</t>
        </is>
      </c>
      <c r="G25" s="7" t="inlineStr">
        <is>
          <t>Location</t>
        </is>
      </c>
      <c r="H25" s="7" t="inlineStr">
        <is>
          <t>Status</t>
        </is>
      </c>
    </row>
    <row r="26">
      <c r="A26" s="8" t="inlineStr">
        <is>
          <t>RTU-1</t>
        </is>
      </c>
      <c r="B26" s="8" t="inlineStr">
        <is>
          <t>Rooftop Unit - Units 1xx</t>
        </is>
      </c>
      <c r="C26" s="8" t="inlineStr">
        <is>
          <t>Trane Precedent 7.5T</t>
        </is>
      </c>
      <c r="D26" s="8" t="inlineStr">
        <is>
          <t>7.5 ton / 1500 CFM</t>
        </is>
      </c>
      <c r="E26" s="8" t="inlineStr">
        <is>
          <t>0.50</t>
        </is>
      </c>
      <c r="F26" s="8" t="inlineStr">
        <is>
          <t>208/3/60 25A</t>
        </is>
      </c>
      <c r="G26" s="8" t="inlineStr">
        <is>
          <t>Roof Zone A</t>
        </is>
      </c>
      <c r="H26" s="8" t="inlineStr"/>
    </row>
    <row r="27">
      <c r="A27" s="8" t="inlineStr">
        <is>
          <t>RTU-2</t>
        </is>
      </c>
      <c r="B27" s="8" t="inlineStr">
        <is>
          <t>Rooftop Unit - Units 2xx</t>
        </is>
      </c>
      <c r="C27" s="8" t="inlineStr">
        <is>
          <t>Trane Precedent 7.5T</t>
        </is>
      </c>
      <c r="D27" s="8" t="inlineStr">
        <is>
          <t>7.5 ton / 1500 CFM</t>
        </is>
      </c>
      <c r="E27" s="8" t="inlineStr">
        <is>
          <t>0.50</t>
        </is>
      </c>
      <c r="F27" s="8" t="inlineStr">
        <is>
          <t>208/3/60 25A</t>
        </is>
      </c>
      <c r="G27" s="8" t="inlineStr">
        <is>
          <t>Roof Zone B</t>
        </is>
      </c>
      <c r="H27" s="8" t="inlineStr"/>
    </row>
    <row r="28">
      <c r="A28" s="8" t="inlineStr">
        <is>
          <t>ERV-1</t>
        </is>
      </c>
      <c r="B28" s="8" t="inlineStr">
        <is>
          <t>Energy Recovery Ventilator</t>
        </is>
      </c>
      <c r="C28" s="8" t="inlineStr">
        <is>
          <t>Lifebreath 1200</t>
        </is>
      </c>
      <c r="D28" s="8" t="inlineStr">
        <is>
          <t>1200 CFM</t>
        </is>
      </c>
      <c r="E28" s="8" t="inlineStr">
        <is>
          <t>0.75</t>
        </is>
      </c>
      <c r="F28" s="8" t="inlineStr">
        <is>
          <t>120/1/60 8A</t>
        </is>
      </c>
      <c r="G28" s="8" t="inlineStr">
        <is>
          <t>Mech Room 1</t>
        </is>
      </c>
      <c r="H28" s="8" t="inlineStr"/>
    </row>
    <row r="29">
      <c r="A29" s="8" t="inlineStr">
        <is>
          <t>EF-1</t>
        </is>
      </c>
      <c r="B29" s="8" t="inlineStr">
        <is>
          <t>Bath Exhaust Fan</t>
        </is>
      </c>
      <c r="C29" s="8" t="inlineStr">
        <is>
          <t>Fantech RE 6XL</t>
        </is>
      </c>
      <c r="D29" s="8" t="inlineStr">
        <is>
          <t>200 CFM</t>
        </is>
      </c>
      <c r="E29" s="8" t="inlineStr">
        <is>
          <t>0.25</t>
        </is>
      </c>
      <c r="F29" s="8" t="inlineStr">
        <is>
          <t>120/1/60 3A</t>
        </is>
      </c>
      <c r="G29" s="8" t="inlineStr">
        <is>
          <t>Roof</t>
        </is>
      </c>
      <c r="H29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PLUMBING — FIXTURE &amp; PIPE SCHEDULE</t>
        </is>
      </c>
    </row>
    <row r="3">
      <c r="A3" s="7" t="inlineStr">
        <is>
          <t>Fixture</t>
        </is>
      </c>
      <c r="B3" s="7" t="inlineStr">
        <is>
          <t>Qty per Unit</t>
        </is>
      </c>
      <c r="C3" s="7" t="inlineStr">
        <is>
          <t>Total Qty</t>
        </is>
      </c>
      <c r="D3" s="7" t="inlineStr">
        <is>
          <t>FU Cold</t>
        </is>
      </c>
      <c r="E3" s="7" t="inlineStr">
        <is>
          <t>FU Hot</t>
        </is>
      </c>
      <c r="F3" s="7" t="inlineStr">
        <is>
          <t>Pipe Size Cold</t>
        </is>
      </c>
      <c r="G3" s="7" t="inlineStr">
        <is>
          <t>Pipe Size Hot</t>
        </is>
      </c>
      <c r="H3" s="7" t="inlineStr">
        <is>
          <t>Drain Size</t>
        </is>
      </c>
      <c r="I3" s="7" t="inlineStr">
        <is>
          <t>Vent Size</t>
        </is>
      </c>
      <c r="J3" s="7" t="inlineStr">
        <is>
          <t>Notes</t>
        </is>
      </c>
    </row>
    <row r="4">
      <c r="A4" s="8" t="inlineStr">
        <is>
          <t>Water Closet</t>
        </is>
      </c>
      <c r="B4" s="8" t="n">
        <v>1</v>
      </c>
      <c r="C4" s="8" t="n">
        <v>18</v>
      </c>
      <c r="D4" s="8" t="n">
        <v>2.5</v>
      </c>
      <c r="E4" s="8" t="n">
        <v>0</v>
      </c>
      <c r="F4" s="8" t="inlineStr">
        <is>
          <t>3/4"</t>
        </is>
      </c>
      <c r="G4" s="8" t="inlineStr"/>
      <c r="H4" s="8" t="inlineStr">
        <is>
          <t>3"</t>
        </is>
      </c>
      <c r="I4" s="8" t="inlineStr">
        <is>
          <t>2"</t>
        </is>
      </c>
      <c r="J4" s="8" t="inlineStr"/>
    </row>
    <row r="5">
      <c r="A5" s="8" t="inlineStr">
        <is>
          <t>Lavatory</t>
        </is>
      </c>
      <c r="B5" s="8" t="n">
        <v>1</v>
      </c>
      <c r="C5" s="8" t="n">
        <v>18</v>
      </c>
      <c r="D5" s="8" t="n">
        <v>1</v>
      </c>
      <c r="E5" s="8" t="n">
        <v>1</v>
      </c>
      <c r="F5" s="8" t="inlineStr">
        <is>
          <t>1/2"</t>
        </is>
      </c>
      <c r="G5" s="8" t="inlineStr">
        <is>
          <t>1/2"</t>
        </is>
      </c>
      <c r="H5" s="8" t="inlineStr">
        <is>
          <t>1-1/2"</t>
        </is>
      </c>
      <c r="I5" s="8" t="inlineStr">
        <is>
          <t>1-1/2"</t>
        </is>
      </c>
      <c r="J5" s="8" t="inlineStr"/>
    </row>
    <row r="6">
      <c r="A6" s="8" t="inlineStr">
        <is>
          <t>Bathtub/Shower</t>
        </is>
      </c>
      <c r="B6" s="8" t="n">
        <v>1</v>
      </c>
      <c r="C6" s="8" t="n">
        <v>18</v>
      </c>
      <c r="D6" s="8" t="n">
        <v>1.5</v>
      </c>
      <c r="E6" s="8" t="n">
        <v>1.5</v>
      </c>
      <c r="F6" s="8" t="inlineStr">
        <is>
          <t>1/2"</t>
        </is>
      </c>
      <c r="G6" s="8" t="inlineStr">
        <is>
          <t>1/2"</t>
        </is>
      </c>
      <c r="H6" s="8" t="inlineStr">
        <is>
          <t>2"</t>
        </is>
      </c>
      <c r="I6" s="8" t="inlineStr">
        <is>
          <t>1-1/2"</t>
        </is>
      </c>
      <c r="J6" s="8" t="inlineStr"/>
    </row>
    <row r="7">
      <c r="A7" s="8" t="inlineStr">
        <is>
          <t>Kitchen Sink</t>
        </is>
      </c>
      <c r="B7" s="8" t="n">
        <v>1</v>
      </c>
      <c r="C7" s="8" t="n">
        <v>18</v>
      </c>
      <c r="D7" s="8" t="n">
        <v>1.5</v>
      </c>
      <c r="E7" s="8" t="n">
        <v>1.5</v>
      </c>
      <c r="F7" s="8" t="inlineStr">
        <is>
          <t>1/2"</t>
        </is>
      </c>
      <c r="G7" s="8" t="inlineStr">
        <is>
          <t>1/2"</t>
        </is>
      </c>
      <c r="H7" s="8" t="inlineStr">
        <is>
          <t>1-1/2"</t>
        </is>
      </c>
      <c r="I7" s="8" t="inlineStr">
        <is>
          <t>1-1/2"</t>
        </is>
      </c>
      <c r="J7" s="8" t="inlineStr"/>
    </row>
    <row r="8">
      <c r="A8" s="8" t="inlineStr">
        <is>
          <t>Washing Machine</t>
        </is>
      </c>
      <c r="B8" s="8" t="n">
        <v>0.5</v>
      </c>
      <c r="C8" s="8" t="n">
        <v>9</v>
      </c>
      <c r="D8" s="8" t="n">
        <v>2</v>
      </c>
      <c r="E8" s="8" t="n">
        <v>2</v>
      </c>
      <c r="F8" s="8" t="inlineStr">
        <is>
          <t>1/2"</t>
        </is>
      </c>
      <c r="G8" s="8" t="inlineStr">
        <is>
          <t>1/2"</t>
        </is>
      </c>
      <c r="H8" s="8" t="inlineStr">
        <is>
          <t>2"</t>
        </is>
      </c>
      <c r="I8" s="8" t="inlineStr">
        <is>
          <t>1-1/2"</t>
        </is>
      </c>
      <c r="J8" s="8" t="inlineStr">
        <is>
          <t>Shared per 2 units</t>
        </is>
      </c>
    </row>
    <row r="10">
      <c r="A10" s="10" t="inlineStr">
        <is>
          <t>WATER HEATER</t>
        </is>
      </c>
    </row>
    <row r="11">
      <c r="A11" s="7" t="inlineStr">
        <is>
          <t>Tag</t>
        </is>
      </c>
      <c r="B11" s="7" t="inlineStr">
        <is>
          <t>Type</t>
        </is>
      </c>
      <c r="C11" s="7" t="inlineStr">
        <is>
          <t>Capacity</t>
        </is>
      </c>
      <c r="D11" s="7" t="inlineStr">
        <is>
          <t>Recovery</t>
        </is>
      </c>
      <c r="E11" s="7" t="inlineStr">
        <is>
          <t>Fuel</t>
        </is>
      </c>
      <c r="F11" s="7" t="inlineStr">
        <is>
          <t>Location</t>
        </is>
      </c>
      <c r="G11" s="7" t="inlineStr">
        <is>
          <t>Notes</t>
        </is>
      </c>
    </row>
    <row r="12">
      <c r="A12" s="8" t="inlineStr">
        <is>
          <t>WH-1</t>
        </is>
      </c>
      <c r="B12" s="8" t="inlineStr">
        <is>
          <t>Electric</t>
        </is>
      </c>
      <c r="C12" s="8" t="inlineStr">
        <is>
          <t>270 L (71 gal)</t>
        </is>
      </c>
      <c r="D12" s="8" t="inlineStr">
        <is>
          <t>150 L/h</t>
        </is>
      </c>
      <c r="E12" s="8" t="inlineStr">
        <is>
          <t>Electric 240/1/60</t>
        </is>
      </c>
      <c r="F12" s="8" t="inlineStr">
        <is>
          <t>Mech Room</t>
        </is>
      </c>
      <c r="G12" s="8" t="inlineStr">
        <is>
          <t>Serves Units 1xx</t>
        </is>
      </c>
    </row>
    <row r="13">
      <c r="A13" s="8" t="inlineStr">
        <is>
          <t>WH-2</t>
        </is>
      </c>
      <c r="B13" s="8" t="inlineStr">
        <is>
          <t>Electric</t>
        </is>
      </c>
      <c r="C13" s="8" t="inlineStr">
        <is>
          <t>270 L (71 gal)</t>
        </is>
      </c>
      <c r="D13" s="8" t="inlineStr">
        <is>
          <t>150 L/h</t>
        </is>
      </c>
      <c r="E13" s="8" t="inlineStr">
        <is>
          <t>Electric 240/1/60</t>
        </is>
      </c>
      <c r="F13" s="8" t="inlineStr">
        <is>
          <t>Mech Room</t>
        </is>
      </c>
      <c r="G13" s="8" t="inlineStr">
        <is>
          <t>Serves Units 2xx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ELECTRICAL — PANEL SCHEDULE</t>
        </is>
      </c>
    </row>
    <row r="3">
      <c r="A3" s="7" t="inlineStr">
        <is>
          <t>Panel ID</t>
        </is>
      </c>
      <c r="B3" s="7" t="inlineStr">
        <is>
          <t>Voltage</t>
        </is>
      </c>
      <c r="C3" s="7" t="inlineStr">
        <is>
          <t>Bus Rating (A)</t>
        </is>
      </c>
      <c r="D3" s="7" t="inlineStr">
        <is>
          <t>Connected Load (kW)</t>
        </is>
      </c>
      <c r="E3" s="7" t="inlineStr">
        <is>
          <t>Demand Factor</t>
        </is>
      </c>
      <c r="F3" s="7" t="inlineStr">
        <is>
          <t>Demand Load (kW)</t>
        </is>
      </c>
      <c r="G3" s="7" t="inlineStr">
        <is>
          <t>Demand (A)</t>
        </is>
      </c>
      <c r="H3" s="7" t="inlineStr">
        <is>
          <t>Breakers Used</t>
        </is>
      </c>
      <c r="I3" s="7" t="inlineStr">
        <is>
          <t>Status</t>
        </is>
      </c>
    </row>
    <row r="4">
      <c r="A4" s="8" t="inlineStr">
        <is>
          <t>DP-1</t>
        </is>
      </c>
      <c r="B4" s="8" t="inlineStr">
        <is>
          <t>208/3/60</t>
        </is>
      </c>
      <c r="C4" s="8" t="n">
        <v>225</v>
      </c>
      <c r="D4" s="8" t="n">
        <v>42.5</v>
      </c>
      <c r="E4" s="8" t="n">
        <v>0.8</v>
      </c>
      <c r="F4" s="8" t="n">
        <v>34</v>
      </c>
      <c r="G4" s="8" t="n">
        <v>118</v>
      </c>
      <c r="H4" s="8" t="inlineStr">
        <is>
          <t>RTU-1, RTU-2, ERV, WH</t>
        </is>
      </c>
      <c r="I4" s="8" t="inlineStr"/>
    </row>
    <row r="5">
      <c r="A5" s="8" t="inlineStr">
        <is>
          <t>LP-1</t>
        </is>
      </c>
      <c r="B5" s="8" t="inlineStr">
        <is>
          <t>120/208 1ph</t>
        </is>
      </c>
      <c r="C5" s="8" t="n">
        <v>125</v>
      </c>
      <c r="D5" s="8" t="n">
        <v>18</v>
      </c>
      <c r="E5" s="8" t="n">
        <v>0.8</v>
      </c>
      <c r="F5" s="8" t="n">
        <v>14.4</v>
      </c>
      <c r="G5" s="8" t="n">
        <v>120</v>
      </c>
      <c r="H5" s="8" t="inlineStr">
        <is>
          <t>Units 1xx lighting/recept</t>
        </is>
      </c>
      <c r="I5" s="8" t="inlineStr"/>
    </row>
    <row r="6">
      <c r="A6" s="8" t="inlineStr">
        <is>
          <t>LP-2</t>
        </is>
      </c>
      <c r="B6" s="8" t="inlineStr">
        <is>
          <t>120/208 1ph</t>
        </is>
      </c>
      <c r="C6" s="8" t="n">
        <v>125</v>
      </c>
      <c r="D6" s="8" t="n">
        <v>18</v>
      </c>
      <c r="E6" s="8" t="n">
        <v>0.8</v>
      </c>
      <c r="F6" s="8" t="n">
        <v>14.4</v>
      </c>
      <c r="G6" s="8" t="n">
        <v>120</v>
      </c>
      <c r="H6" s="8" t="inlineStr">
        <is>
          <t>Units 2xx lighting/recept</t>
        </is>
      </c>
      <c r="I6" s="8" t="inlineStr"/>
    </row>
    <row r="7">
      <c r="A7" s="8" t="inlineStr">
        <is>
          <t>HP-1</t>
        </is>
      </c>
      <c r="B7" s="8" t="inlineStr">
        <is>
          <t>120/208 1ph</t>
        </is>
      </c>
      <c r="C7" s="8" t="n">
        <v>100</v>
      </c>
      <c r="D7" s="8" t="n">
        <v>12</v>
      </c>
      <c r="E7" s="8" t="n">
        <v>1</v>
      </c>
      <c r="F7" s="8" t="n">
        <v>12</v>
      </c>
      <c r="G7" s="8" t="n">
        <v>100</v>
      </c>
      <c r="H7" s="8" t="inlineStr">
        <is>
          <t>Common areas, corridor</t>
        </is>
      </c>
      <c r="I7" s="8" t="inlineStr"/>
    </row>
    <row r="9">
      <c r="A9" s="11" t="inlineStr">
        <is>
          <t>FEEDER SIZING</t>
        </is>
      </c>
    </row>
    <row r="10">
      <c r="A10" s="7" t="inlineStr">
        <is>
          <t>Feeder ID</t>
        </is>
      </c>
      <c r="B10" s="7" t="inlineStr">
        <is>
          <t>From</t>
        </is>
      </c>
      <c r="C10" s="7" t="inlineStr">
        <is>
          <t>To</t>
        </is>
      </c>
      <c r="D10" s="7" t="inlineStr">
        <is>
          <t>Length (m)</t>
        </is>
      </c>
      <c r="E10" s="7" t="inlineStr">
        <is>
          <t>Load (A)</t>
        </is>
      </c>
      <c r="F10" s="7" t="inlineStr">
        <is>
          <t>Conductor</t>
        </is>
      </c>
      <c r="G10" s="7" t="inlineStr">
        <is>
          <t>Conduit</t>
        </is>
      </c>
      <c r="H10" s="7" t="inlineStr">
        <is>
          <t>Vdrop (%)</t>
        </is>
      </c>
      <c r="I10" s="7" t="inlineStr">
        <is>
          <t>Status</t>
        </is>
      </c>
    </row>
    <row r="11">
      <c r="A11" s="8" t="inlineStr">
        <is>
          <t>F-001</t>
        </is>
      </c>
      <c r="B11" s="8" t="inlineStr">
        <is>
          <t>MDP</t>
        </is>
      </c>
      <c r="C11" s="8" t="inlineStr">
        <is>
          <t>DP-1</t>
        </is>
      </c>
      <c r="D11" s="8" t="n">
        <v>25</v>
      </c>
      <c r="E11" s="8" t="n">
        <v>118</v>
      </c>
      <c r="F11" s="8" t="inlineStr">
        <is>
          <t>3#2/0 + #6G</t>
        </is>
      </c>
      <c r="G11" s="8" t="inlineStr">
        <is>
          <t>2" EMT</t>
        </is>
      </c>
      <c r="H11" s="8" t="n">
        <v>1.8</v>
      </c>
      <c r="I11" s="8" t="inlineStr"/>
    </row>
    <row r="12">
      <c r="A12" s="8" t="inlineStr">
        <is>
          <t>F-002</t>
        </is>
      </c>
      <c r="B12" s="8" t="inlineStr">
        <is>
          <t>DP-1</t>
        </is>
      </c>
      <c r="C12" s="8" t="inlineStr">
        <is>
          <t>LP-1</t>
        </is>
      </c>
      <c r="D12" s="8" t="n">
        <v>15</v>
      </c>
      <c r="E12" s="8" t="n">
        <v>120</v>
      </c>
      <c r="F12" s="8" t="inlineStr">
        <is>
          <t>3#1 + #6G</t>
        </is>
      </c>
      <c r="G12" s="8" t="inlineStr">
        <is>
          <t>1-1/2" EMT</t>
        </is>
      </c>
      <c r="H12" s="8" t="n">
        <v>1.2</v>
      </c>
      <c r="I12" s="8" t="inlineStr"/>
    </row>
    <row r="13">
      <c r="A13" s="8" t="inlineStr">
        <is>
          <t>F-003</t>
        </is>
      </c>
      <c r="B13" s="8" t="inlineStr">
        <is>
          <t>DP-1</t>
        </is>
      </c>
      <c r="C13" s="8" t="inlineStr">
        <is>
          <t>LP-2</t>
        </is>
      </c>
      <c r="D13" s="8" t="n">
        <v>15</v>
      </c>
      <c r="E13" s="8" t="n">
        <v>120</v>
      </c>
      <c r="F13" s="8" t="inlineStr">
        <is>
          <t>3#1 + #6G</t>
        </is>
      </c>
      <c r="G13" s="8" t="inlineStr">
        <is>
          <t>1-1/2" EMT</t>
        </is>
      </c>
      <c r="H13" s="8" t="n">
        <v>1.2</v>
      </c>
      <c r="I13" s="8" t="inlineStr"/>
    </row>
    <row r="14">
      <c r="A14" s="8" t="inlineStr">
        <is>
          <t>F-004</t>
        </is>
      </c>
      <c r="B14" s="8" t="inlineStr">
        <is>
          <t>DP-1</t>
        </is>
      </c>
      <c r="C14" s="8" t="inlineStr">
        <is>
          <t>HP-1</t>
        </is>
      </c>
      <c r="D14" s="8" t="n">
        <v>10</v>
      </c>
      <c r="E14" s="8" t="n">
        <v>100</v>
      </c>
      <c r="F14" s="8" t="inlineStr">
        <is>
          <t>3#2 + #6G</t>
        </is>
      </c>
      <c r="G14" s="8" t="inlineStr">
        <is>
          <t>1-1/4" EMT</t>
        </is>
      </c>
      <c r="H14" s="8" t="n">
        <v>0.8</v>
      </c>
      <c r="I14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8" customWidth="1" min="4" max="4"/>
    <col width="22" customWidth="1" min="5" max="5"/>
    <col width="18" customWidth="1" min="6" max="6"/>
    <col width="14" customWidth="1" min="7" max="7"/>
    <col width="22" customWidth="1" min="8" max="8"/>
    <col width="18" customWidth="1" min="9" max="9"/>
    <col width="20" customWidth="1" min="10" max="10"/>
  </cols>
  <sheetData>
    <row r="1">
      <c r="A1" s="1" t="inlineStr">
        <is>
          <t>MASTER EQUIPMENT SCHEDULE</t>
        </is>
      </c>
    </row>
    <row r="3">
      <c r="A3" s="7" t="inlineStr">
        <is>
          <t>Tag</t>
        </is>
      </c>
      <c r="B3" s="7" t="inlineStr">
        <is>
          <t>Description</t>
        </is>
      </c>
      <c r="C3" s="7" t="inlineStr">
        <is>
          <t>Manufacturer</t>
        </is>
      </c>
      <c r="D3" s="7" t="inlineStr">
        <is>
          <t>Model</t>
        </is>
      </c>
      <c r="E3" s="7" t="inlineStr">
        <is>
          <t>Capacity</t>
        </is>
      </c>
      <c r="F3" s="7" t="inlineStr">
        <is>
          <t>Electrical</t>
        </is>
      </c>
      <c r="G3" s="7" t="inlineStr">
        <is>
          <t>Weight (kg)</t>
        </is>
      </c>
      <c r="H3" s="7" t="inlineStr">
        <is>
          <t>Dim. L×W×H (mm)</t>
        </is>
      </c>
      <c r="I3" s="7" t="inlineStr">
        <is>
          <t>Location</t>
        </is>
      </c>
      <c r="J3" s="7" t="inlineStr">
        <is>
          <t>Service Clearance</t>
        </is>
      </c>
    </row>
    <row r="4">
      <c r="A4" s="8" t="inlineStr">
        <is>
          <t>RTU-1</t>
        </is>
      </c>
      <c r="B4" s="8" t="inlineStr">
        <is>
          <t>Rooftop Unit Units 1xx</t>
        </is>
      </c>
      <c r="C4" s="8" t="inlineStr">
        <is>
          <t>Trane</t>
        </is>
      </c>
      <c r="D4" s="8" t="inlineStr">
        <is>
          <t>Precedent THC07</t>
        </is>
      </c>
      <c r="E4" s="8" t="inlineStr">
        <is>
          <t>7.5T / 1500 CFM</t>
        </is>
      </c>
      <c r="F4" s="8" t="inlineStr">
        <is>
          <t>208/3/60 25A</t>
        </is>
      </c>
      <c r="G4" s="8" t="n">
        <v>280</v>
      </c>
      <c r="H4" s="8" t="inlineStr">
        <is>
          <t>1500×1200×1100</t>
        </is>
      </c>
      <c r="I4" s="8" t="inlineStr">
        <is>
          <t>Roof Zone A</t>
        </is>
      </c>
      <c r="J4" s="8" t="inlineStr">
        <is>
          <t>900mm all sides</t>
        </is>
      </c>
    </row>
    <row r="5">
      <c r="A5" s="8" t="inlineStr">
        <is>
          <t>RTU-2</t>
        </is>
      </c>
      <c r="B5" s="8" t="inlineStr">
        <is>
          <t>Rooftop Unit Units 2xx</t>
        </is>
      </c>
      <c r="C5" s="8" t="inlineStr">
        <is>
          <t>Trane</t>
        </is>
      </c>
      <c r="D5" s="8" t="inlineStr">
        <is>
          <t>Precedent THC07</t>
        </is>
      </c>
      <c r="E5" s="8" t="inlineStr">
        <is>
          <t>7.5T / 1500 CFM</t>
        </is>
      </c>
      <c r="F5" s="8" t="inlineStr">
        <is>
          <t>208/3/60 25A</t>
        </is>
      </c>
      <c r="G5" s="8" t="n">
        <v>280</v>
      </c>
      <c r="H5" s="8" t="inlineStr">
        <is>
          <t>1500×1200×1100</t>
        </is>
      </c>
      <c r="I5" s="8" t="inlineStr">
        <is>
          <t>Roof Zone B</t>
        </is>
      </c>
      <c r="J5" s="8" t="inlineStr">
        <is>
          <t>900mm all sides</t>
        </is>
      </c>
    </row>
    <row r="6">
      <c r="A6" s="8" t="inlineStr">
        <is>
          <t>ERV-1</t>
        </is>
      </c>
      <c r="B6" s="8" t="inlineStr">
        <is>
          <t>Energy Recovery Ventilator</t>
        </is>
      </c>
      <c r="C6" s="8" t="inlineStr">
        <is>
          <t>Lifebreath</t>
        </is>
      </c>
      <c r="D6" s="8" t="inlineStr">
        <is>
          <t>1200ERV</t>
        </is>
      </c>
      <c r="E6" s="8" t="inlineStr">
        <is>
          <t>1200 CFM</t>
        </is>
      </c>
      <c r="F6" s="8" t="inlineStr">
        <is>
          <t>120/1/60 8A</t>
        </is>
      </c>
      <c r="G6" s="8" t="n">
        <v>95</v>
      </c>
      <c r="H6" s="8" t="inlineStr">
        <is>
          <t>900×700×1800</t>
        </is>
      </c>
      <c r="I6" s="8" t="inlineStr">
        <is>
          <t>Mech Room 1</t>
        </is>
      </c>
      <c r="J6" s="8" t="inlineStr">
        <is>
          <t>600mm front</t>
        </is>
      </c>
    </row>
    <row r="7">
      <c r="A7" s="8" t="inlineStr">
        <is>
          <t>EF-1</t>
        </is>
      </c>
      <c r="B7" s="8" t="inlineStr">
        <is>
          <t>Bath Exhaust Fan</t>
        </is>
      </c>
      <c r="C7" s="8" t="inlineStr">
        <is>
          <t>Fantech</t>
        </is>
      </c>
      <c r="D7" s="8" t="inlineStr">
        <is>
          <t>RE 6XL</t>
        </is>
      </c>
      <c r="E7" s="8" t="inlineStr">
        <is>
          <t>200 CFM</t>
        </is>
      </c>
      <c r="F7" s="8" t="inlineStr">
        <is>
          <t>120/1/60 3A</t>
        </is>
      </c>
      <c r="G7" s="8" t="n">
        <v>12</v>
      </c>
      <c r="H7" s="8" t="inlineStr">
        <is>
          <t>350×350×300</t>
        </is>
      </c>
      <c r="I7" s="8" t="inlineStr">
        <is>
          <t>Roof</t>
        </is>
      </c>
      <c r="J7" s="8" t="inlineStr">
        <is>
          <t>N/A (roof mounted)</t>
        </is>
      </c>
    </row>
    <row r="8">
      <c r="A8" s="8" t="inlineStr">
        <is>
          <t>WH-1</t>
        </is>
      </c>
      <c r="B8" s="8" t="inlineStr">
        <is>
          <t>Water Heater Units 1xx</t>
        </is>
      </c>
      <c r="C8" s="8" t="inlineStr">
        <is>
          <t>Giant</t>
        </is>
      </c>
      <c r="D8" s="8" t="inlineStr">
        <is>
          <t>UG-270</t>
        </is>
      </c>
      <c r="E8" s="8" t="inlineStr">
        <is>
          <t>270L / 150L/h</t>
        </is>
      </c>
      <c r="F8" s="8" t="inlineStr">
        <is>
          <t>240/1/60 18A</t>
        </is>
      </c>
      <c r="G8" s="8" t="n">
        <v>85</v>
      </c>
      <c r="H8" s="8" t="inlineStr">
        <is>
          <t>650Φ×1500</t>
        </is>
      </c>
      <c r="I8" s="8" t="inlineStr">
        <is>
          <t>Mech Room</t>
        </is>
      </c>
      <c r="J8" s="8" t="inlineStr">
        <is>
          <t>600mm front</t>
        </is>
      </c>
    </row>
    <row r="9">
      <c r="A9" s="8" t="inlineStr">
        <is>
          <t>WH-2</t>
        </is>
      </c>
      <c r="B9" s="8" t="inlineStr">
        <is>
          <t>Water Heater Units 2xx</t>
        </is>
      </c>
      <c r="C9" s="8" t="inlineStr">
        <is>
          <t>Giant</t>
        </is>
      </c>
      <c r="D9" s="8" t="inlineStr">
        <is>
          <t>UG-270</t>
        </is>
      </c>
      <c r="E9" s="8" t="inlineStr">
        <is>
          <t>270L / 150L/h</t>
        </is>
      </c>
      <c r="F9" s="8" t="inlineStr">
        <is>
          <t>240/1/60 18A</t>
        </is>
      </c>
      <c r="G9" s="8" t="n">
        <v>85</v>
      </c>
      <c r="H9" s="8" t="inlineStr">
        <is>
          <t>650Φ×1500</t>
        </is>
      </c>
      <c r="I9" s="8" t="inlineStr">
        <is>
          <t>Mech Room</t>
        </is>
      </c>
      <c r="J9" s="8" t="inlineStr">
        <is>
          <t>600mm front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8" customWidth="1" min="4" max="4"/>
    <col width="22" customWidth="1" min="5" max="5"/>
    <col width="16" customWidth="1" min="6" max="6"/>
    <col width="42" customWidth="1" min="7" max="7"/>
    <col width="30" customWidth="1" min="8" max="8"/>
  </cols>
  <sheetData>
    <row r="1">
      <c r="A1" s="1" t="inlineStr">
        <is>
          <t>AUTOMATED VALIDATION CHECKS</t>
        </is>
      </c>
    </row>
    <row r="3">
      <c r="A3" s="7" t="inlineStr">
        <is>
          <t>Check ID</t>
        </is>
      </c>
      <c r="B3" s="7" t="inlineStr">
        <is>
          <t>Description</t>
        </is>
      </c>
      <c r="C3" s="7" t="inlineStr">
        <is>
          <t>Source</t>
        </is>
      </c>
      <c r="D3" s="7" t="inlineStr">
        <is>
          <t>Target</t>
        </is>
      </c>
      <c r="E3" s="7" t="inlineStr">
        <is>
          <t>Expected</t>
        </is>
      </c>
      <c r="F3" s="7" t="inlineStr">
        <is>
          <t>Actual</t>
        </is>
      </c>
      <c r="G3" s="7" t="inlineStr">
        <is>
          <t>Status</t>
        </is>
      </c>
      <c r="H3" s="7" t="inlineStr">
        <is>
          <t>Action</t>
        </is>
      </c>
    </row>
    <row r="4">
      <c r="A4" s="8" t="inlineStr">
        <is>
          <t>V-001</t>
        </is>
      </c>
      <c r="B4" s="8" t="inlineStr">
        <is>
          <t>Supply CFM = Return CFM (±10%)</t>
        </is>
      </c>
      <c r="C4" s="8" t="inlineStr">
        <is>
          <t>HVAC!F</t>
        </is>
      </c>
      <c r="D4" s="8" t="inlineStr">
        <is>
          <t>HVAC!G</t>
        </is>
      </c>
      <c r="E4" s="8" t="inlineStr">
        <is>
          <t>Match ±10%</t>
        </is>
      </c>
      <c r="F4" s="8" t="inlineStr"/>
      <c r="G4" s="12">
        <f>IF(ABS(SUM(HVAC!F4:F11)-SUM(HVAC!G4:G11))/MAX(SUM(HVAC!F4:F11),1)&lt;=0.1,"PASS","FAIL")</f>
        <v/>
      </c>
      <c r="H4" s="8" t="inlineStr">
        <is>
          <t>Adjust return/exhaust to balance</t>
        </is>
      </c>
    </row>
    <row r="5">
      <c r="A5" s="8" t="inlineStr">
        <is>
          <t>V-002</t>
        </is>
      </c>
      <c r="B5" s="8" t="inlineStr">
        <is>
          <t>Equipment kW → Panel breaker</t>
        </is>
      </c>
      <c r="C5" s="8" t="inlineStr">
        <is>
          <t>EQUIPMENT!F</t>
        </is>
      </c>
      <c r="D5" s="8" t="inlineStr">
        <is>
          <t>ELECTRICAL!D</t>
        </is>
      </c>
      <c r="E5" s="8" t="inlineStr">
        <is>
          <t>All equipment has panel assignment</t>
        </is>
      </c>
      <c r="F5" s="8" t="inlineStr"/>
      <c r="G5" s="8" t="inlineStr">
        <is>
          <t>MANUAL</t>
        </is>
      </c>
      <c r="H5" s="8" t="inlineStr">
        <is>
          <t>Add missing circuits</t>
        </is>
      </c>
    </row>
    <row r="6">
      <c r="A6" s="8" t="inlineStr">
        <is>
          <t>V-003</t>
        </is>
      </c>
      <c r="B6" s="8" t="inlineStr">
        <is>
          <t>Panel load ≤ 80% bus</t>
        </is>
      </c>
      <c r="C6" s="8" t="inlineStr">
        <is>
          <t>ELECTRICAL!G</t>
        </is>
      </c>
      <c r="D6" s="8" t="inlineStr">
        <is>
          <t>ELECTRICAL!C</t>
        </is>
      </c>
      <c r="E6" s="8" t="inlineStr">
        <is>
          <t>Demand A ≤ 0.8 × Bus A</t>
        </is>
      </c>
      <c r="F6" s="8" t="inlineStr"/>
      <c r="G6" s="8" t="inlineStr">
        <is>
          <t>MANUAL</t>
        </is>
      </c>
      <c r="H6" s="8" t="inlineStr">
        <is>
          <t>Reduce load or upsize panel</t>
        </is>
      </c>
    </row>
    <row r="7">
      <c r="A7" s="8" t="inlineStr">
        <is>
          <t>V-004</t>
        </is>
      </c>
      <c r="B7" s="8" t="inlineStr">
        <is>
          <t>Phase imbalance ≤ 10%</t>
        </is>
      </c>
      <c r="C7" s="8" t="inlineStr">
        <is>
          <t>ELECTRICAL!D</t>
        </is>
      </c>
      <c r="D7" s="8" t="inlineStr"/>
      <c r="E7" s="8" t="inlineStr">
        <is>
          <t>≤10%</t>
        </is>
      </c>
      <c r="F7" s="8" t="inlineStr"/>
      <c r="G7" s="8" t="inlineStr">
        <is>
          <t>MANUAL</t>
        </is>
      </c>
      <c r="H7" s="8" t="inlineStr">
        <is>
          <t>Redistribute loads</t>
        </is>
      </c>
    </row>
    <row r="8">
      <c r="A8" s="8" t="inlineStr">
        <is>
          <t>V-005</t>
        </is>
      </c>
      <c r="B8" s="8" t="inlineStr">
        <is>
          <t>Duct velocity within limits</t>
        </is>
      </c>
      <c r="C8" s="8" t="inlineStr">
        <is>
          <t>HVAC!D</t>
        </is>
      </c>
      <c r="D8" s="8" t="inlineStr"/>
      <c r="E8" s="8" t="inlineStr">
        <is>
          <t>Supply ≤1500, Return ≤1200</t>
        </is>
      </c>
      <c r="F8" s="8" t="inlineStr"/>
      <c r="G8" s="8" t="inlineStr">
        <is>
          <t>MANUAL</t>
        </is>
      </c>
      <c r="H8" s="8" t="inlineStr">
        <is>
          <t>Upsize duct</t>
        </is>
      </c>
    </row>
    <row r="9">
      <c r="A9" s="8" t="inlineStr">
        <is>
          <t>V-006</t>
        </is>
      </c>
      <c r="B9" s="8" t="inlineStr">
        <is>
          <t>Fixture units ≤ pipe capacity</t>
        </is>
      </c>
      <c r="C9" s="8" t="inlineStr">
        <is>
          <t>PLUMBING!D</t>
        </is>
      </c>
      <c r="D9" s="8" t="inlineStr">
        <is>
          <t>PLUMBING!F</t>
        </is>
      </c>
      <c r="E9" s="8" t="inlineStr">
        <is>
          <t>Check vs NPC table</t>
        </is>
      </c>
      <c r="F9" s="8" t="inlineStr"/>
      <c r="G9" s="8" t="inlineStr">
        <is>
          <t>MANUAL</t>
        </is>
      </c>
      <c r="H9" s="8" t="inlineStr">
        <is>
          <t>Upsize pipe</t>
        </is>
      </c>
    </row>
    <row r="10">
      <c r="A10" s="8" t="inlineStr">
        <is>
          <t>V-007</t>
        </is>
      </c>
      <c r="B10" s="8" t="inlineStr">
        <is>
          <t>Equipment dims ≤ room space</t>
        </is>
      </c>
      <c r="C10" s="8" t="inlineStr">
        <is>
          <t>EQUIPMENT!H</t>
        </is>
      </c>
      <c r="D10" s="8" t="inlineStr">
        <is>
          <t>ARCH</t>
        </is>
      </c>
      <c r="E10" s="8" t="inlineStr">
        <is>
          <t>Coordinated with arch</t>
        </is>
      </c>
      <c r="F10" s="8" t="inlineStr"/>
      <c r="G10" s="8" t="inlineStr">
        <is>
          <t>MANUAL</t>
        </is>
      </c>
      <c r="H10" s="8" t="inlineStr">
        <is>
          <t>Verify with architectural</t>
        </is>
      </c>
    </row>
    <row r="11">
      <c r="A11" s="8" t="inlineStr">
        <is>
          <t>V-008</t>
        </is>
      </c>
      <c r="B11" s="8" t="inlineStr">
        <is>
          <t>Assumptions dated</t>
        </is>
      </c>
      <c r="C11" s="8" t="inlineStr">
        <is>
          <t>ASSUMPTIONS!A</t>
        </is>
      </c>
      <c r="D11" s="8" t="inlineStr">
        <is>
          <t>PROJECT!B13</t>
        </is>
      </c>
      <c r="E11" s="8" t="inlineStr">
        <is>
          <t>Date matches last review</t>
        </is>
      </c>
      <c r="F11" s="8" t="inlineStr"/>
      <c r="G11" s="8" t="inlineStr">
        <is>
          <t>MANUAL</t>
        </is>
      </c>
      <c r="H11" s="8" t="inlineStr">
        <is>
          <t>Update assumptions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8" customWidth="1" min="4" max="4"/>
    <col width="20" customWidth="1" min="5" max="5"/>
  </cols>
  <sheetData>
    <row r="1">
      <c r="A1" s="1" t="inlineStr">
        <is>
          <t>CAD EXPORT — Ready for AutoCAD Data Link</t>
        </is>
      </c>
    </row>
    <row r="2">
      <c r="A2" s="13" t="inlineStr">
        <is>
          <t>Copy values only. No formulas. AutoCAD reads this sheet as a linked table.</t>
        </is>
      </c>
    </row>
    <row r="4">
      <c r="A4" s="14" t="inlineStr">
        <is>
          <t>EQUIPMENT SCHEDULE</t>
        </is>
      </c>
    </row>
    <row r="5">
      <c r="A5" s="7" t="inlineStr">
        <is>
          <t>Tag</t>
        </is>
      </c>
      <c r="B5" s="7" t="inlineStr">
        <is>
          <t>Description</t>
        </is>
      </c>
      <c r="C5" s="7" t="inlineStr">
        <is>
          <t>Capacity</t>
        </is>
      </c>
      <c r="D5" s="7" t="inlineStr">
        <is>
          <t>Electrical</t>
        </is>
      </c>
      <c r="E5" s="7" t="inlineStr">
        <is>
          <t>Location</t>
        </is>
      </c>
    </row>
    <row r="6">
      <c r="A6" s="8" t="inlineStr">
        <is>
          <t>RTU-1</t>
        </is>
      </c>
      <c r="B6" s="8" t="inlineStr">
        <is>
          <t>Rooftop Unit Units 1xx</t>
        </is>
      </c>
      <c r="C6" s="8" t="inlineStr">
        <is>
          <t>7.5T / 1500 CFM</t>
        </is>
      </c>
      <c r="D6" s="8" t="inlineStr">
        <is>
          <t>208/3/60 25A</t>
        </is>
      </c>
      <c r="E6" s="8" t="inlineStr">
        <is>
          <t>Roof Zone A</t>
        </is>
      </c>
    </row>
    <row r="7">
      <c r="A7" s="8" t="inlineStr">
        <is>
          <t>RTU-2</t>
        </is>
      </c>
      <c r="B7" s="8" t="inlineStr">
        <is>
          <t>Rooftop Unit Units 2xx</t>
        </is>
      </c>
      <c r="C7" s="8" t="inlineStr">
        <is>
          <t>7.5T / 1500 CFM</t>
        </is>
      </c>
      <c r="D7" s="8" t="inlineStr">
        <is>
          <t>208/3/60 25A</t>
        </is>
      </c>
      <c r="E7" s="8" t="inlineStr">
        <is>
          <t>Roof Zone B</t>
        </is>
      </c>
    </row>
    <row r="8">
      <c r="A8" s="8" t="inlineStr">
        <is>
          <t>ERV-1</t>
        </is>
      </c>
      <c r="B8" s="8" t="inlineStr">
        <is>
          <t>Energy Recovery Ventilator</t>
        </is>
      </c>
      <c r="C8" s="8" t="inlineStr">
        <is>
          <t>1200 CFM</t>
        </is>
      </c>
      <c r="D8" s="8" t="inlineStr">
        <is>
          <t>120/1/60 8A</t>
        </is>
      </c>
      <c r="E8" s="8" t="inlineStr">
        <is>
          <t>Mech Room 1</t>
        </is>
      </c>
    </row>
    <row r="9">
      <c r="A9" s="8" t="inlineStr">
        <is>
          <t>EF-1</t>
        </is>
      </c>
      <c r="B9" s="8" t="inlineStr">
        <is>
          <t>Bath Exhaust Fan</t>
        </is>
      </c>
      <c r="C9" s="8" t="inlineStr">
        <is>
          <t>200 CFM</t>
        </is>
      </c>
      <c r="D9" s="8" t="inlineStr">
        <is>
          <t>120/1/60 3A</t>
        </is>
      </c>
      <c r="E9" s="8" t="inlineStr">
        <is>
          <t>Roof</t>
        </is>
      </c>
    </row>
    <row r="10">
      <c r="A10" s="8" t="inlineStr">
        <is>
          <t>WH-1</t>
        </is>
      </c>
      <c r="B10" s="8" t="inlineStr">
        <is>
          <t>Water Heater Units 1xx</t>
        </is>
      </c>
      <c r="C10" s="8" t="inlineStr">
        <is>
          <t>270L / 150L/h</t>
        </is>
      </c>
      <c r="D10" s="8" t="inlineStr">
        <is>
          <t>240/1/60 18A</t>
        </is>
      </c>
      <c r="E10" s="8" t="inlineStr">
        <is>
          <t>Mech Room</t>
        </is>
      </c>
    </row>
    <row r="11">
      <c r="A11" s="8" t="inlineStr">
        <is>
          <t>WH-2</t>
        </is>
      </c>
      <c r="B11" s="8" t="inlineStr">
        <is>
          <t>Water Heater Units 2xx</t>
        </is>
      </c>
      <c r="C11" s="8" t="inlineStr">
        <is>
          <t>270L / 150L/h</t>
        </is>
      </c>
      <c r="D11" s="8" t="inlineStr">
        <is>
          <t>240/1/60 18A</t>
        </is>
      </c>
      <c r="E11" s="8" t="inlineStr">
        <is>
          <t>Mech Room</t>
        </is>
      </c>
    </row>
    <row r="13">
      <c r="A13" s="14" t="inlineStr">
        <is>
          <t>DUCTWORK SUMMARY</t>
        </is>
      </c>
    </row>
    <row r="14">
      <c r="A14" s="7" t="inlineStr">
        <is>
          <t>Duct ID</t>
        </is>
      </c>
      <c r="B14" s="7" t="inlineStr">
        <is>
          <t>Serves</t>
        </is>
      </c>
      <c r="C14" s="7" t="inlineStr">
        <is>
          <t>CFM</t>
        </is>
      </c>
      <c r="D14" s="7" t="inlineStr">
        <is>
          <t>Size</t>
        </is>
      </c>
      <c r="E14" s="7" t="inlineStr">
        <is>
          <t>Notes</t>
        </is>
      </c>
    </row>
    <row r="15">
      <c r="A15" s="8" t="inlineStr">
        <is>
          <t>M-001</t>
        </is>
      </c>
      <c r="B15" s="8" t="inlineStr">
        <is>
          <t>Units 1xx Supply</t>
        </is>
      </c>
      <c r="C15" s="8" t="n">
        <v>630</v>
      </c>
      <c r="D15" s="8" t="inlineStr">
        <is>
          <t>14"Φ</t>
        </is>
      </c>
      <c r="E15" s="8" t="n"/>
    </row>
    <row r="16">
      <c r="A16" s="8" t="inlineStr">
        <is>
          <t>M-002</t>
        </is>
      </c>
      <c r="B16" s="8" t="inlineStr">
        <is>
          <t>Units 2xx Supply</t>
        </is>
      </c>
      <c r="C16" s="8" t="n">
        <v>630</v>
      </c>
      <c r="D16" s="8" t="inlineStr">
        <is>
          <t>14"Φ</t>
        </is>
      </c>
      <c r="E16" s="8" t="n"/>
    </row>
    <row r="17">
      <c r="A17" s="8" t="inlineStr">
        <is>
          <t>M-003</t>
        </is>
      </c>
      <c r="B17" s="8" t="inlineStr">
        <is>
          <t>Corridors Supply</t>
        </is>
      </c>
      <c r="C17" s="8" t="n">
        <v>150</v>
      </c>
      <c r="D17" s="8" t="inlineStr">
        <is>
          <t>10"Φ</t>
        </is>
      </c>
      <c r="E17" s="8" t="n"/>
    </row>
    <row r="18">
      <c r="A18" s="8" t="inlineStr">
        <is>
          <t>M-R01</t>
        </is>
      </c>
      <c r="B18" s="8" t="inlineStr">
        <is>
          <t>Units 1xx Return</t>
        </is>
      </c>
      <c r="C18" s="8" t="n">
        <v>570</v>
      </c>
      <c r="D18" s="8" t="inlineStr">
        <is>
          <t>14"Φ</t>
        </is>
      </c>
      <c r="E18" s="8" t="n"/>
    </row>
    <row r="19">
      <c r="A19" s="8" t="inlineStr">
        <is>
          <t>M-R02</t>
        </is>
      </c>
      <c r="B19" s="8" t="inlineStr">
        <is>
          <t>Units 2xx Return</t>
        </is>
      </c>
      <c r="C19" s="8" t="n">
        <v>570</v>
      </c>
      <c r="D19" s="8" t="inlineStr">
        <is>
          <t>14"Φ</t>
        </is>
      </c>
      <c r="E19" s="8" t="n"/>
    </row>
    <row r="20">
      <c r="A20" s="8" t="inlineStr">
        <is>
          <t>M-E01</t>
        </is>
      </c>
      <c r="B20" s="8" t="inlineStr">
        <is>
          <t>Bath Exhaust</t>
        </is>
      </c>
      <c r="C20" s="8" t="n">
        <v>100</v>
      </c>
      <c r="D20" s="8" t="inlineStr">
        <is>
          <t>8"Φ</t>
        </is>
      </c>
      <c r="E20" s="8" t="n"/>
    </row>
    <row r="21">
      <c r="A21" s="8" t="inlineStr">
        <is>
          <t>M-E02</t>
        </is>
      </c>
      <c r="B21" s="8" t="inlineStr">
        <is>
          <t>Bath Exhaust</t>
        </is>
      </c>
      <c r="C21" s="8" t="n">
        <v>100</v>
      </c>
      <c r="D21" s="8" t="inlineStr">
        <is>
          <t>8"Φ</t>
        </is>
      </c>
      <c r="E2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2026-06-04T18:27:59Z</dcterms:created>
  <dcterms:modified xsi:type="dcterms:W3CDTF">2026-06-04T18:27:59Z</dcterms:modified>
</cp:coreProperties>
</file>